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PropertyDB" sheetId="2" state="visible" r:id="rId2"/>
    <sheet name="BOR_Calc" sheetId="3" state="visible" r:id="rId3"/>
    <sheet name="Meas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1F3864"/>
      <sz val="10"/>
    </font>
    <font>
      <sz val="10"/>
    </font>
    <font>
      <b val="1"/>
      <color rgb="00FFFFFF"/>
      <sz val="13"/>
    </font>
    <font>
      <b val="1"/>
      <color rgb="00C00000"/>
      <sz val="11"/>
    </font>
    <font>
      <color rgb="00000000"/>
      <sz val="10"/>
    </font>
    <font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B4C6E7"/>
      </patternFill>
    </fill>
    <fill>
      <patternFill patternType="solid">
        <fgColor rgb="00FFF2CC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7" borderId="1" pivotButton="0" quotePrefix="0" xfId="0"/>
    <xf numFmtId="2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8" customWidth="1" min="4" max="4"/>
    <col width="30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30" customHeight="1">
      <c r="A1" s="1" t="inlineStr">
        <is>
          <t>LNG 탱크 BOR 예측 모델 — 입력 조건</t>
        </is>
      </c>
    </row>
    <row r="2" ht="20" customHeight="1">
      <c r="A2" s="2" t="inlineStr">
        <is>
          <t>항목</t>
        </is>
      </c>
      <c r="B2" s="2" t="inlineStr">
        <is>
          <t>값</t>
        </is>
      </c>
      <c r="C2" s="2" t="inlineStr">
        <is>
          <t>단위</t>
        </is>
      </c>
      <c r="D2" s="2" t="inlineStr">
        <is>
          <t>비고</t>
        </is>
      </c>
    </row>
    <row r="3" ht="18" customHeight="1">
      <c r="A3" s="3" t="inlineStr">
        <is>
          <t>▶ 탱크 기하 조건</t>
        </is>
      </c>
      <c r="F3" s="3" t="inlineStr">
        <is>
          <t>▶ 탱크 형상(고정) 및 사양 정보</t>
        </is>
      </c>
    </row>
    <row r="4" ht="18" customHeight="1">
      <c r="A4" s="4" t="inlineStr">
        <is>
          <t>탱크 내경 (직경) [m]</t>
        </is>
      </c>
      <c r="B4" s="5" t="n">
        <v>4</v>
      </c>
      <c r="C4" s="4" t="inlineStr">
        <is>
          <t>m</t>
        </is>
      </c>
      <c r="D4" s="4" t="inlineStr">
        <is>
          <t>원통형 가정</t>
        </is>
      </c>
    </row>
    <row r="5" ht="18" customHeight="1">
      <c r="A5" s="4" t="inlineStr">
        <is>
          <t>탱크 길이 (원통부) [m]</t>
        </is>
      </c>
      <c r="B5" s="5" t="n">
        <v>10</v>
      </c>
      <c r="C5" s="4" t="inlineStr">
        <is>
          <t>m</t>
        </is>
      </c>
      <c r="D5" s="4" t="inlineStr"/>
      <c r="G5" s="6" t="inlineStr">
        <is>
          <t>원통형 LNG 탱크 (고정)</t>
        </is>
      </c>
      <c r="H5" s="7" t="n"/>
      <c r="I5" s="7" t="n"/>
      <c r="J5" s="7" t="n"/>
      <c r="K5" s="7" t="n"/>
    </row>
    <row r="6" ht="18" customHeight="1">
      <c r="A6" s="4" t="inlineStr">
        <is>
          <t>LNG 충전율 [%]</t>
        </is>
      </c>
      <c r="B6" s="5" t="n">
        <v>90</v>
      </c>
      <c r="C6" s="4" t="inlineStr">
        <is>
          <t>%</t>
        </is>
      </c>
      <c r="D6" s="4" t="inlineStr">
        <is>
          <t>0~100</t>
        </is>
      </c>
      <c r="F6" s="8" t="n"/>
      <c r="G6" s="7" t="n"/>
      <c r="H6" s="7" t="n"/>
      <c r="I6" s="7" t="n"/>
      <c r="J6" s="7" t="n"/>
      <c r="K6" s="7" t="n"/>
      <c r="L6" s="8" t="n"/>
    </row>
    <row r="7" ht="18" customHeight="1">
      <c r="A7" s="4" t="inlineStr">
        <is>
          <t>탱크 내부 체적 [m³]</t>
        </is>
      </c>
      <c r="B7" s="9">
        <f>PI()*(B4/2)^2*B5+(4/3)*PI()*(B4/2)^3</f>
        <v/>
      </c>
      <c r="C7" s="4" t="inlineStr">
        <is>
          <t>m³</t>
        </is>
      </c>
      <c r="D7" s="4" t="inlineStr">
        <is>
          <t>내경·길이로 자동 계산</t>
        </is>
      </c>
      <c r="F7" s="8" t="n"/>
      <c r="G7" s="7" t="n"/>
      <c r="H7" s="7" t="n"/>
      <c r="I7" s="7" t="n"/>
      <c r="J7" s="7" t="n"/>
      <c r="K7" s="7" t="n"/>
      <c r="L7" s="8" t="n"/>
    </row>
    <row r="8" ht="18" customHeight="1">
      <c r="A8" s="4" t="inlineStr">
        <is>
          <t>LNG 체적 [m³]</t>
        </is>
      </c>
      <c r="B8" s="9">
        <f>B7*B6/100</f>
        <v/>
      </c>
      <c r="C8" s="4" t="inlineStr">
        <is>
          <t>m³</t>
        </is>
      </c>
      <c r="D8" s="4" t="inlineStr">
        <is>
          <t>체적 × 충전율</t>
        </is>
      </c>
      <c r="F8" s="8" t="n"/>
      <c r="G8" s="7" t="n"/>
      <c r="H8" s="7" t="n"/>
      <c r="I8" s="7" t="n"/>
      <c r="J8" s="7" t="n"/>
      <c r="K8" s="7" t="n"/>
      <c r="L8" s="8" t="n"/>
    </row>
    <row r="9" ht="18" customHeight="1">
      <c r="A9" s="3" t="inlineStr">
        <is>
          <t>▶ 운전 조건</t>
        </is>
      </c>
      <c r="G9" s="7" t="n"/>
      <c r="H9" s="7" t="n"/>
      <c r="I9" s="7" t="n"/>
      <c r="J9" s="7" t="n"/>
      <c r="K9" s="7" t="n"/>
    </row>
    <row r="10" ht="18" customHeight="1">
      <c r="A10" s="4" t="inlineStr">
        <is>
          <t>탱크 내부 압력 [bar(a)]</t>
        </is>
      </c>
      <c r="B10" s="5" t="n">
        <v>1.13</v>
      </c>
      <c r="C10" s="4" t="inlineStr">
        <is>
          <t>bar(a)</t>
        </is>
      </c>
      <c r="D10" s="4" t="inlineStr">
        <is>
          <t>절대압</t>
        </is>
      </c>
    </row>
    <row r="11" ht="18" customHeight="1">
      <c r="A11" s="4" t="inlineStr">
        <is>
          <t>외부(주위) 온도 [℃]</t>
        </is>
      </c>
      <c r="B11" s="5" t="n">
        <v>25</v>
      </c>
      <c r="C11" s="4" t="inlineStr">
        <is>
          <t>℃</t>
        </is>
      </c>
      <c r="D11" s="4" t="inlineStr"/>
      <c r="F11" s="3" t="inlineStr">
        <is>
          <t>■ 사양 패널 (셀 연동)</t>
        </is>
      </c>
    </row>
    <row r="12" ht="18" customHeight="1">
      <c r="A12" s="3" t="inlineStr">
        <is>
          <t>▶ 단열재 조건</t>
        </is>
      </c>
      <c r="F12" s="4" t="inlineStr">
        <is>
          <t>탱크 내경</t>
        </is>
      </c>
      <c r="G12" s="10">
        <f>B4</f>
        <v/>
      </c>
      <c r="H12" s="4" t="inlineStr">
        <is>
          <t>m</t>
        </is>
      </c>
    </row>
    <row r="13" ht="18" customHeight="1">
      <c r="A13" s="4" t="inlineStr">
        <is>
          <t>단열재 종류</t>
        </is>
      </c>
      <c r="B13" s="5" t="inlineStr">
        <is>
          <t>Perlite(진공)</t>
        </is>
      </c>
      <c r="C13" s="4" t="inlineStr">
        <is>
          <t>-</t>
        </is>
      </c>
      <c r="D13" s="4" t="inlineStr">
        <is>
          <t>드롭다운 선택</t>
        </is>
      </c>
      <c r="F13" s="4" t="inlineStr">
        <is>
          <t>탱크 길이</t>
        </is>
      </c>
      <c r="G13" s="10">
        <f>B5</f>
        <v/>
      </c>
      <c r="H13" s="4" t="inlineStr">
        <is>
          <t>m</t>
        </is>
      </c>
    </row>
    <row r="14" ht="18" customHeight="1">
      <c r="A14" s="4" t="inlineStr">
        <is>
          <t>단열재 두께 [m]</t>
        </is>
      </c>
      <c r="B14" s="5" t="n">
        <v>0.3</v>
      </c>
      <c r="C14" s="4" t="inlineStr">
        <is>
          <t>m</t>
        </is>
      </c>
      <c r="D14" s="4" t="inlineStr"/>
      <c r="F14" s="4" t="inlineStr">
        <is>
          <t>충전율</t>
        </is>
      </c>
      <c r="G14" s="10">
        <f>B6</f>
        <v/>
      </c>
      <c r="H14" s="4" t="inlineStr">
        <is>
          <t>%</t>
        </is>
      </c>
    </row>
    <row r="15" ht="18" customHeight="1">
      <c r="A15" s="4" t="inlineStr">
        <is>
          <t>진공도 [Pa]</t>
        </is>
      </c>
      <c r="B15" s="5" t="n">
        <v>1</v>
      </c>
      <c r="C15" s="4" t="inlineStr">
        <is>
          <t>Pa</t>
        </is>
      </c>
      <c r="D15" s="4" t="inlineStr">
        <is>
          <t>진공단열 시 적용</t>
        </is>
      </c>
      <c r="F15" s="4" t="inlineStr">
        <is>
          <t>탱크 내부 체적</t>
        </is>
      </c>
      <c r="G15" s="10">
        <f>B7</f>
        <v/>
      </c>
      <c r="H15" s="4" t="inlineStr">
        <is>
          <t>m³</t>
        </is>
      </c>
    </row>
    <row r="16" ht="18" customHeight="1">
      <c r="A16" s="3" t="inlineStr">
        <is>
          <t>▶ 배관 조건</t>
        </is>
      </c>
      <c r="F16" s="4" t="inlineStr">
        <is>
          <t>LNG 체적</t>
        </is>
      </c>
      <c r="G16" s="10">
        <f>B8</f>
        <v/>
      </c>
      <c r="H16" s="4" t="inlineStr">
        <is>
          <t>m³</t>
        </is>
      </c>
    </row>
    <row r="17" ht="18" customHeight="1">
      <c r="A17" s="4" t="inlineStr">
        <is>
          <t>배관 보냉/진공 여부</t>
        </is>
      </c>
      <c r="B17" s="5" t="inlineStr">
        <is>
          <t>진공배관</t>
        </is>
      </c>
      <c r="C17" s="4" t="inlineStr">
        <is>
          <t>-</t>
        </is>
      </c>
      <c r="D17" s="4" t="inlineStr">
        <is>
          <t>드롭다운 선택</t>
        </is>
      </c>
      <c r="F17" s="4" t="inlineStr">
        <is>
          <t>내부 압력</t>
        </is>
      </c>
      <c r="G17" s="10">
        <f>B10</f>
        <v/>
      </c>
      <c r="H17" s="4" t="inlineStr">
        <is>
          <t>bar(a)</t>
        </is>
      </c>
    </row>
    <row r="18" ht="18" customHeight="1">
      <c r="A18" s="4" t="inlineStr">
        <is>
          <t>배관 추가 열유입 비율 [%]</t>
        </is>
      </c>
      <c r="B18" s="5" t="n">
        <v>10</v>
      </c>
      <c r="C18" s="4" t="inlineStr">
        <is>
          <t>%</t>
        </is>
      </c>
      <c r="D18" s="4" t="inlineStr">
        <is>
          <t>탱크 열유입 대비</t>
        </is>
      </c>
      <c r="F18" s="4" t="inlineStr">
        <is>
          <t>외부 온도</t>
        </is>
      </c>
      <c r="G18" s="10">
        <f>B11</f>
        <v/>
      </c>
      <c r="H18" s="4" t="inlineStr">
        <is>
          <t>℃</t>
        </is>
      </c>
    </row>
    <row r="19" ht="18" customHeight="1">
      <c r="A19" s="3" t="inlineStr">
        <is>
          <t>▶ 계측 조건</t>
        </is>
      </c>
      <c r="F19" s="4" t="inlineStr">
        <is>
          <t>단열재 종류</t>
        </is>
      </c>
      <c r="G19" s="10">
        <f>B13</f>
        <v/>
      </c>
      <c r="H19" s="4" t="inlineStr">
        <is>
          <t>-</t>
        </is>
      </c>
    </row>
    <row r="20" ht="18" customHeight="1">
      <c r="A20" s="4" t="inlineStr">
        <is>
          <t>안정화 시간 [h]</t>
        </is>
      </c>
      <c r="B20" s="5" t="n">
        <v>12</v>
      </c>
      <c r="C20" s="4" t="inlineStr">
        <is>
          <t>h</t>
        </is>
      </c>
      <c r="D20" s="4" t="inlineStr">
        <is>
          <t>BOG 안정화 대기 시간</t>
        </is>
      </c>
      <c r="F20" s="4" t="inlineStr">
        <is>
          <t>단열재 두께</t>
        </is>
      </c>
      <c r="G20" s="10">
        <f>B14</f>
        <v/>
      </c>
      <c r="H20" s="4" t="inlineStr">
        <is>
          <t>m</t>
        </is>
      </c>
    </row>
    <row r="21" ht="18" customHeight="1">
      <c r="A21" s="4" t="inlineStr">
        <is>
          <t>BOG 계측 시간 [h]</t>
        </is>
      </c>
      <c r="B21" s="5" t="n">
        <v>1</v>
      </c>
      <c r="C21" s="4" t="inlineStr">
        <is>
          <t>h</t>
        </is>
      </c>
      <c r="D21" s="4" t="inlineStr">
        <is>
          <t>실측 수집 시간</t>
        </is>
      </c>
      <c r="F21" s="4" t="inlineStr">
        <is>
          <t>진공도</t>
        </is>
      </c>
      <c r="G21" s="10">
        <f>B15</f>
        <v/>
      </c>
      <c r="H21" s="4" t="inlineStr">
        <is>
          <t>Pa</t>
        </is>
      </c>
    </row>
    <row r="22" ht="18" customHeight="1">
      <c r="A22" s="3" t="inlineStr">
        <is>
          <t>▶ LNG 조성 (상위 3성분)</t>
        </is>
      </c>
      <c r="F22" s="4" t="inlineStr">
        <is>
          <t>배관 보냉/진공</t>
        </is>
      </c>
      <c r="G22" s="10">
        <f>B17</f>
        <v/>
      </c>
      <c r="H22" s="4" t="inlineStr">
        <is>
          <t>-</t>
        </is>
      </c>
    </row>
    <row r="23" ht="18" customHeight="1">
      <c r="A23" s="11" t="inlineStr">
        <is>
          <t>성분 이름</t>
        </is>
      </c>
      <c r="B23" s="11" t="inlineStr">
        <is>
          <t>몰분율 [mol%]</t>
        </is>
      </c>
      <c r="C23" s="11" t="inlineStr">
        <is>
          <t>단위</t>
        </is>
      </c>
      <c r="D23" s="11" t="inlineStr">
        <is>
          <t>비고</t>
        </is>
      </c>
      <c r="F23" s="4" t="inlineStr">
        <is>
          <t>배관 열유입 비율</t>
        </is>
      </c>
      <c r="G23" s="10">
        <f>B18</f>
        <v/>
      </c>
      <c r="H23" s="4" t="inlineStr">
        <is>
          <t>%</t>
        </is>
      </c>
    </row>
    <row r="24" ht="18" customHeight="1">
      <c r="A24" s="5" t="inlineStr">
        <is>
          <t>Methane</t>
        </is>
      </c>
      <c r="B24" s="5" t="n">
        <v>90</v>
      </c>
      <c r="C24" s="4" t="inlineStr">
        <is>
          <t>mol%</t>
        </is>
      </c>
      <c r="D24" s="4" t="inlineStr">
        <is>
          <t>주성분</t>
        </is>
      </c>
      <c r="F24" s="4" t="inlineStr">
        <is>
          <t>성분1 이름</t>
        </is>
      </c>
      <c r="G24" s="10">
        <f>A24</f>
        <v/>
      </c>
      <c r="H24" s="4" t="inlineStr">
        <is>
          <t>-</t>
        </is>
      </c>
    </row>
    <row r="25" ht="18" customHeight="1">
      <c r="A25" s="5" t="inlineStr">
        <is>
          <t>Ethane</t>
        </is>
      </c>
      <c r="B25" s="5" t="n">
        <v>7</v>
      </c>
      <c r="C25" s="4" t="inlineStr">
        <is>
          <t>mol%</t>
        </is>
      </c>
      <c r="D25" s="4" t="inlineStr"/>
      <c r="F25" s="4" t="inlineStr">
        <is>
          <t>성분1 몰분율</t>
        </is>
      </c>
      <c r="G25" s="10">
        <f>B24</f>
        <v/>
      </c>
      <c r="H25" s="4" t="inlineStr">
        <is>
          <t>mol%</t>
        </is>
      </c>
    </row>
    <row r="26" ht="18" customHeight="1">
      <c r="A26" s="5" t="inlineStr">
        <is>
          <t>Propane</t>
        </is>
      </c>
      <c r="B26" s="5" t="n">
        <v>3</v>
      </c>
      <c r="C26" s="4" t="inlineStr">
        <is>
          <t>mol%</t>
        </is>
      </c>
      <c r="D26" s="4" t="inlineStr">
        <is>
          <t>합계 100%</t>
        </is>
      </c>
      <c r="F26" s="4" t="inlineStr">
        <is>
          <t>성분2 이름</t>
        </is>
      </c>
      <c r="G26" s="10">
        <f>A25</f>
        <v/>
      </c>
      <c r="H26" s="4" t="inlineStr">
        <is>
          <t>-</t>
        </is>
      </c>
    </row>
    <row r="27">
      <c r="F27" s="4" t="inlineStr">
        <is>
          <t>성분2 몰분율</t>
        </is>
      </c>
      <c r="G27" s="10">
        <f>B25</f>
        <v/>
      </c>
      <c r="H27" s="4" t="inlineStr">
        <is>
          <t>mol%</t>
        </is>
      </c>
    </row>
    <row r="28">
      <c r="F28" s="4" t="inlineStr">
        <is>
          <t>성분3 이름</t>
        </is>
      </c>
      <c r="G28" s="10">
        <f>A26</f>
        <v/>
      </c>
      <c r="H28" s="4" t="inlineStr">
        <is>
          <t>-</t>
        </is>
      </c>
    </row>
    <row r="29">
      <c r="F29" s="4" t="inlineStr">
        <is>
          <t>성분3 몰분율</t>
        </is>
      </c>
      <c r="G29" s="10">
        <f>B26</f>
        <v/>
      </c>
      <c r="H29" s="4" t="inlineStr">
        <is>
          <t>mol%</t>
        </is>
      </c>
    </row>
  </sheetData>
  <mergeCells count="10">
    <mergeCell ref="A1:D1"/>
    <mergeCell ref="A9:D9"/>
    <mergeCell ref="A22:D22"/>
    <mergeCell ref="A12:D12"/>
    <mergeCell ref="A3:D3"/>
    <mergeCell ref="F3:L3"/>
    <mergeCell ref="A16:D16"/>
    <mergeCell ref="A19:D19"/>
    <mergeCell ref="F11:H11"/>
    <mergeCell ref="G5:K9"/>
  </mergeCells>
  <dataValidations count="3">
    <dataValidation sqref="B13" showDropDown="0" showInputMessage="0" showErrorMessage="0" allowBlank="0" errorTitle="입력 오류" error="목록에서 선택하세요" type="list">
      <formula1>"Polyurethane Foam (PUF),Perlite(대기압),Perlite(진공),MLI(다층진공단열),Glass Wool,Vacuum Panel"</formula1>
    </dataValidation>
    <dataValidation sqref="B17" showDropDown="0" showInputMessage="0" showErrorMessage="0" allowBlank="0" errorTitle="입력 오류" error="목록에서 선택하세요" type="list">
      <formula1>"보냉없음,일반보냉,진공배관"</formula1>
    </dataValidation>
    <dataValidation sqref="B24:B26" showDropDown="0" showInputMessage="0" showErrorMessage="0" allowBlank="0" errorTitle="입력 오류" error="목록에서 선택하세요" type="list">
      <formula1>"Methane,Ethane,Propane,Nitrogen,i-Butane,n-Butane"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 ht="28" customHeight="1">
      <c r="A1" s="12" t="inlineStr">
        <is>
          <t>LNG BOR 예측 모델 — 물성 데이터베이스 (2_물성DB)</t>
        </is>
      </c>
    </row>
    <row r="2">
      <c r="A2" s="3" t="inlineStr">
        <is>
          <t>■ 단열재 열전도율 (k값)</t>
        </is>
      </c>
    </row>
    <row r="3">
      <c r="A3" s="11" t="inlineStr">
        <is>
          <t>단열재 종류</t>
        </is>
      </c>
      <c r="B3" s="11" t="inlineStr">
        <is>
          <t>열전도율 k [W/m·K]</t>
        </is>
      </c>
    </row>
    <row r="4">
      <c r="A4" s="13" t="inlineStr">
        <is>
          <t>Polyurethane Foam (PUF)</t>
        </is>
      </c>
      <c r="B4" s="14" t="n">
        <v>0.025</v>
      </c>
    </row>
    <row r="5">
      <c r="A5" s="13" t="inlineStr">
        <is>
          <t>Perlite(대기압)</t>
        </is>
      </c>
      <c r="B5" s="14" t="n">
        <v>0.04</v>
      </c>
    </row>
    <row r="6">
      <c r="A6" s="13" t="inlineStr">
        <is>
          <t>Perlite(진공)</t>
        </is>
      </c>
      <c r="B6" s="14" t="n">
        <v>0.0015</v>
      </c>
    </row>
    <row r="7">
      <c r="A7" s="13" t="inlineStr">
        <is>
          <t>MLI(다층진공단열)</t>
        </is>
      </c>
      <c r="B7" s="14" t="n">
        <v>0.0005</v>
      </c>
    </row>
    <row r="8">
      <c r="A8" s="13" t="inlineStr">
        <is>
          <t>Glass Wool</t>
        </is>
      </c>
      <c r="B8" s="14" t="n">
        <v>0.038</v>
      </c>
    </row>
    <row r="9">
      <c r="A9" s="13" t="inlineStr">
        <is>
          <t>Vacuum Panel</t>
        </is>
      </c>
      <c r="B9" s="14" t="n">
        <v>0.008</v>
      </c>
    </row>
    <row r="11">
      <c r="A11" s="3" t="inlineStr">
        <is>
          <t>■ LNG 성분 물성 (비등점 기준 대표값)</t>
        </is>
      </c>
    </row>
    <row r="12" ht="30" customHeight="1">
      <c r="A12" s="11" t="inlineStr">
        <is>
          <t>성분</t>
        </is>
      </c>
      <c r="B12" s="11" t="inlineStr">
        <is>
          <t>분자량
[g/mol]</t>
        </is>
      </c>
      <c r="C12" s="11" t="inlineStr">
        <is>
          <t>잠열 ΔHvap
[kJ/kg]</t>
        </is>
      </c>
      <c r="D12" s="11" t="inlineStr">
        <is>
          <t>액밀도
[kg/m³]</t>
        </is>
      </c>
      <c r="E12" s="11" t="inlineStr">
        <is>
          <t>비등점
[℃]</t>
        </is>
      </c>
      <c r="F12" s="11" t="inlineStr">
        <is>
          <t>비고</t>
        </is>
      </c>
    </row>
    <row r="13" ht="16" customHeight="1">
      <c r="A13" s="15" t="inlineStr">
        <is>
          <t>Methane</t>
        </is>
      </c>
      <c r="B13" s="16" t="n">
        <v>16.04</v>
      </c>
      <c r="C13" s="16" t="n">
        <v>511</v>
      </c>
      <c r="D13" s="16" t="n">
        <v>422.6</v>
      </c>
      <c r="E13" s="16" t="n">
        <v>-161.5</v>
      </c>
      <c r="F13" s="16" t="inlineStr">
        <is>
          <t>주성분</t>
        </is>
      </c>
    </row>
    <row r="14" ht="16" customHeight="1">
      <c r="A14" s="15" t="inlineStr">
        <is>
          <t>Ethane</t>
        </is>
      </c>
      <c r="B14" s="16" t="n">
        <v>30.07</v>
      </c>
      <c r="C14" s="16" t="n">
        <v>489</v>
      </c>
      <c r="D14" s="16" t="n">
        <v>544.1</v>
      </c>
      <c r="E14" s="16" t="n">
        <v>-88.59999999999999</v>
      </c>
      <c r="F14" s="16" t="inlineStr"/>
    </row>
    <row r="15" ht="16" customHeight="1">
      <c r="A15" s="15" t="inlineStr">
        <is>
          <t>Propane</t>
        </is>
      </c>
      <c r="B15" s="16" t="n">
        <v>44.1</v>
      </c>
      <c r="C15" s="16" t="n">
        <v>426</v>
      </c>
      <c r="D15" s="16" t="n">
        <v>581</v>
      </c>
      <c r="E15" s="16" t="n">
        <v>-42.1</v>
      </c>
      <c r="F15" s="16" t="inlineStr"/>
    </row>
    <row r="16" ht="16" customHeight="1">
      <c r="A16" s="15" t="inlineStr">
        <is>
          <t>Nitrogen</t>
        </is>
      </c>
      <c r="B16" s="16" t="n">
        <v>28.01</v>
      </c>
      <c r="C16" s="16" t="n">
        <v>199</v>
      </c>
      <c r="D16" s="16" t="n">
        <v>806.6</v>
      </c>
      <c r="E16" s="16" t="n">
        <v>-195.8</v>
      </c>
      <c r="F16" s="16" t="inlineStr"/>
    </row>
    <row r="17" ht="16" customHeight="1">
      <c r="A17" s="15" t="inlineStr">
        <is>
          <t>i-Butane</t>
        </is>
      </c>
      <c r="B17" s="16" t="n">
        <v>58.12</v>
      </c>
      <c r="C17" s="16" t="n">
        <v>366</v>
      </c>
      <c r="D17" s="16" t="n">
        <v>593.4</v>
      </c>
      <c r="E17" s="16" t="n">
        <v>-11.7</v>
      </c>
      <c r="F17" s="16" t="inlineStr"/>
    </row>
    <row r="18" ht="16" customHeight="1">
      <c r="A18" s="15" t="inlineStr">
        <is>
          <t>n-Butane</t>
        </is>
      </c>
      <c r="B18" s="16" t="n">
        <v>58.12</v>
      </c>
      <c r="C18" s="16" t="n">
        <v>385</v>
      </c>
      <c r="D18" s="16" t="n">
        <v>601.8</v>
      </c>
      <c r="E18" s="16" t="n">
        <v>-0.5</v>
      </c>
      <c r="F18" s="16" t="inlineStr"/>
    </row>
    <row r="20">
      <c r="A20" s="3" t="inlineStr">
        <is>
          <t>■ 배관 보냉계수 (열유입 보정)</t>
        </is>
      </c>
    </row>
    <row r="21">
      <c r="A21" s="11" t="inlineStr">
        <is>
          <t>배관 상태</t>
        </is>
      </c>
      <c r="B21" s="11" t="inlineStr">
        <is>
          <t>열유입 계수</t>
        </is>
      </c>
    </row>
    <row r="22">
      <c r="A22" s="13" t="inlineStr">
        <is>
          <t>보냉없음</t>
        </is>
      </c>
      <c r="B22" s="16" t="n">
        <v>1</v>
      </c>
    </row>
    <row r="23">
      <c r="A23" s="13" t="inlineStr">
        <is>
          <t>일반보냉</t>
        </is>
      </c>
      <c r="B23" s="16" t="n">
        <v>0.4</v>
      </c>
    </row>
    <row r="24">
      <c r="A24" s="13" t="inlineStr">
        <is>
          <t>진공배관</t>
        </is>
      </c>
      <c r="B24" s="16" t="n">
        <v>0.1</v>
      </c>
    </row>
  </sheetData>
  <mergeCells count="4">
    <mergeCell ref="A20:B20"/>
    <mergeCell ref="A11:F11"/>
    <mergeCell ref="A2:B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30" customWidth="1" min="4" max="4"/>
  </cols>
  <sheetData>
    <row r="1" ht="28" customHeight="1">
      <c r="A1" s="12" t="inlineStr">
        <is>
          <t>LNG 탱크 BOR 예측 계산 시트 (정상상태 열전달 모델)</t>
        </is>
      </c>
    </row>
    <row r="2" ht="20" customHeight="1">
      <c r="A2" s="2" t="inlineStr">
        <is>
          <t>계산 항목</t>
        </is>
      </c>
      <c r="B2" s="2" t="inlineStr">
        <is>
          <t>값</t>
        </is>
      </c>
      <c r="C2" s="2" t="inlineStr">
        <is>
          <t>단위</t>
        </is>
      </c>
      <c r="D2" s="2" t="inlineStr">
        <is>
          <t>수식/비고</t>
        </is>
      </c>
    </row>
    <row r="3" ht="18" customHeight="1">
      <c r="A3" s="3" t="inlineStr">
        <is>
          <t>▶ 탱크 기하 계산</t>
        </is>
      </c>
    </row>
    <row r="4" ht="16" customHeight="1">
      <c r="A4" s="4" t="inlineStr">
        <is>
          <t>탱크 반지름 r [m]</t>
        </is>
      </c>
      <c r="B4" s="10">
        <f>Input!B4/2</f>
        <v/>
      </c>
      <c r="C4" s="4" t="inlineStr">
        <is>
          <t>m</t>
        </is>
      </c>
      <c r="D4" s="4" t="inlineStr">
        <is>
          <t>직경 / 2</t>
        </is>
      </c>
    </row>
    <row r="5" ht="16" customHeight="1">
      <c r="A5" s="4" t="inlineStr">
        <is>
          <t>원통부 외면 표면적 [m²]</t>
        </is>
      </c>
      <c r="B5" s="10">
        <f>2*PI()*B4*Input!B5</f>
        <v/>
      </c>
      <c r="C5" s="4" t="inlineStr">
        <is>
          <t>m²</t>
        </is>
      </c>
      <c r="D5" s="4" t="inlineStr">
        <is>
          <t>2π r L</t>
        </is>
      </c>
    </row>
    <row r="6" ht="16" customHeight="1">
      <c r="A6" s="4" t="inlineStr">
        <is>
          <t>양단 반구 표면적 [m²]</t>
        </is>
      </c>
      <c r="B6" s="10">
        <f>4*PI()*B4^2</f>
        <v/>
      </c>
      <c r="C6" s="4" t="inlineStr">
        <is>
          <t>m²</t>
        </is>
      </c>
      <c r="D6" s="4" t="inlineStr">
        <is>
          <t>4π r²  (양쪽 반구 합)</t>
        </is>
      </c>
    </row>
    <row r="7" ht="16" customHeight="1">
      <c r="A7" s="4" t="inlineStr">
        <is>
          <t>총 표면적 A [m²]</t>
        </is>
      </c>
      <c r="B7" s="10">
        <f>B5+B6</f>
        <v/>
      </c>
      <c r="C7" s="4" t="inlineStr">
        <is>
          <t>m²</t>
        </is>
      </c>
      <c r="D7" s="4" t="inlineStr">
        <is>
          <t>원통 + 양단 반구</t>
        </is>
      </c>
    </row>
    <row r="8" ht="16" customHeight="1">
      <c r="A8" s="4" t="inlineStr">
        <is>
          <t>탱크 내부 체적 V [m³]</t>
        </is>
      </c>
      <c r="B8" s="10">
        <f>PI()*B4^2*Input!B5+(4/3)*PI()*B4^3</f>
        <v/>
      </c>
      <c r="C8" s="4" t="inlineStr">
        <is>
          <t>m³</t>
        </is>
      </c>
      <c r="D8" s="4" t="inlineStr">
        <is>
          <t>π r² L + (4/3)π r³</t>
        </is>
      </c>
    </row>
    <row r="9" ht="16" customHeight="1">
      <c r="A9" s="4" t="inlineStr">
        <is>
          <t>LNG 체적 V_LNG [m³]</t>
        </is>
      </c>
      <c r="B9" s="10">
        <f>B8*Input!B6/100</f>
        <v/>
      </c>
      <c r="C9" s="4" t="inlineStr">
        <is>
          <t>m³</t>
        </is>
      </c>
      <c r="D9" s="4" t="inlineStr">
        <is>
          <t>V_tank × 충전율(%)</t>
        </is>
      </c>
    </row>
    <row r="10" ht="18" customHeight="1">
      <c r="A10" s="3" t="inlineStr">
        <is>
          <t>▶ 단열 열저항 계산</t>
        </is>
      </c>
    </row>
    <row r="11" ht="16" customHeight="1">
      <c r="A11" s="4" t="inlineStr">
        <is>
          <t>단열재 k값 (VLOOKUP) [W/m·K]</t>
        </is>
      </c>
      <c r="B11" s="10">
        <f>VLOOKUP(Input!B13,PropertyDB!A4:B9,2,FALSE)</f>
        <v/>
      </c>
      <c r="C11" s="4" t="inlineStr">
        <is>
          <t>W/m·K</t>
        </is>
      </c>
      <c r="D11" s="4" t="inlineStr">
        <is>
          <t>2_물성DB A4:B9 참조</t>
        </is>
      </c>
    </row>
    <row r="12" ht="16" customHeight="1">
      <c r="A12" s="4" t="inlineStr">
        <is>
          <t>진공보정계수 (고진공 시 keff 감소)</t>
        </is>
      </c>
      <c r="B12" s="10">
        <f>IF(Input!B15&lt;10,0.7,IF(Input!B15&lt;100,0.85,1.0))</f>
        <v/>
      </c>
      <c r="C12" s="4" t="inlineStr">
        <is>
          <t>-</t>
        </is>
      </c>
      <c r="D12" s="4" t="inlineStr">
        <is>
          <t>진공도&lt;10Pa→0.7, &lt;100Pa→0.85, 대기→1.0</t>
        </is>
      </c>
    </row>
    <row r="13" ht="16" customHeight="1">
      <c r="A13" s="4" t="inlineStr">
        <is>
          <t>유효 열전도율 keff [W/m·K]</t>
        </is>
      </c>
      <c r="B13" s="10">
        <f>B11*B12</f>
        <v/>
      </c>
      <c r="C13" s="4" t="inlineStr">
        <is>
          <t>W/m·K</t>
        </is>
      </c>
      <c r="D13" s="4" t="inlineStr">
        <is>
          <t>k × 진공보정계수</t>
        </is>
      </c>
    </row>
    <row r="14" ht="16" customHeight="1">
      <c r="A14" s="4" t="inlineStr">
        <is>
          <t>열저항 R [K/W]</t>
        </is>
      </c>
      <c r="B14" s="10">
        <f>Input!B14/(B13*B7)</f>
        <v/>
      </c>
      <c r="C14" s="4" t="inlineStr">
        <is>
          <t>K/W</t>
        </is>
      </c>
      <c r="D14" s="4" t="inlineStr">
        <is>
          <t>두께 / (keff × A)</t>
        </is>
      </c>
    </row>
    <row r="15" ht="18" customHeight="1">
      <c r="A15" s="3" t="inlineStr">
        <is>
          <t>▶ LNG 조성 가중평균 물성 계산</t>
        </is>
      </c>
    </row>
    <row r="16" ht="16" customHeight="1">
      <c r="A16" s="4" t="inlineStr">
        <is>
          <t>성분1 잠열 [kJ/kg]</t>
        </is>
      </c>
      <c r="B16" s="10">
        <f>VLOOKUP(Input!A24,PropertyDB!A13:E18,3,FALSE)</f>
        <v/>
      </c>
      <c r="C16" s="4" t="inlineStr">
        <is>
          <t>kJ/kg</t>
        </is>
      </c>
      <c r="D16" s="4" t="inlineStr">
        <is>
          <t>2_물성DB A13:E18 참조</t>
        </is>
      </c>
    </row>
    <row r="17" ht="16" customHeight="1">
      <c r="A17" s="4" t="inlineStr">
        <is>
          <t>성분2 잠열 [kJ/kg]</t>
        </is>
      </c>
      <c r="B17" s="10">
        <f>VLOOKUP(Input!A25,PropertyDB!A13:E18,3,FALSE)</f>
        <v/>
      </c>
      <c r="C17" s="4" t="inlineStr">
        <is>
          <t>kJ/kg</t>
        </is>
      </c>
      <c r="D17" s="4" t="inlineStr"/>
    </row>
    <row r="18" ht="16" customHeight="1">
      <c r="A18" s="4" t="inlineStr">
        <is>
          <t>성분3 잠열 [kJ/kg]</t>
        </is>
      </c>
      <c r="B18" s="10">
        <f>VLOOKUP(Input!A26,PropertyDB!A13:E18,3,FALSE)</f>
        <v/>
      </c>
      <c r="C18" s="4" t="inlineStr">
        <is>
          <t>kJ/kg</t>
        </is>
      </c>
      <c r="D18" s="4" t="inlineStr"/>
    </row>
    <row r="19" ht="16" customHeight="1">
      <c r="A19" s="4" t="inlineStr">
        <is>
          <t>평균 잠열 ΔHvap [kJ/kg]</t>
        </is>
      </c>
      <c r="B19" s="10">
        <f>(B16*Input!B24+B17*Input!B25+B18*Input!B26)/(Input!B24+Input!B25+Input!B26)</f>
        <v/>
      </c>
      <c r="C19" s="4" t="inlineStr">
        <is>
          <t>kJ/kg</t>
        </is>
      </c>
      <c r="D19" s="4" t="inlineStr">
        <is>
          <t>몰분율 가중평균</t>
        </is>
      </c>
    </row>
    <row r="20" ht="16" customHeight="1">
      <c r="A20" s="4" t="inlineStr">
        <is>
          <t>성분1 액밀도 [kg/m³]</t>
        </is>
      </c>
      <c r="B20" s="10">
        <f>VLOOKUP(Input!A24,PropertyDB!A13:E18,4,FALSE)</f>
        <v/>
      </c>
      <c r="C20" s="4" t="inlineStr">
        <is>
          <t>kg/m³</t>
        </is>
      </c>
      <c r="D20" s="4" t="inlineStr"/>
    </row>
    <row r="21" ht="16" customHeight="1">
      <c r="A21" s="4" t="inlineStr">
        <is>
          <t>성분2 액밀도 [kg/m³]</t>
        </is>
      </c>
      <c r="B21" s="10">
        <f>VLOOKUP(Input!A25,PropertyDB!A13:E18,4,FALSE)</f>
        <v/>
      </c>
      <c r="C21" s="4" t="inlineStr">
        <is>
          <t>kg/m³</t>
        </is>
      </c>
      <c r="D21" s="4" t="inlineStr"/>
    </row>
    <row r="22" ht="16" customHeight="1">
      <c r="A22" s="4" t="inlineStr">
        <is>
          <t>성분3 액밀도 [kg/m³]</t>
        </is>
      </c>
      <c r="B22" s="10">
        <f>VLOOKUP(Input!A26,PropertyDB!A13:E18,4,FALSE)</f>
        <v/>
      </c>
      <c r="C22" s="4" t="inlineStr">
        <is>
          <t>kg/m³</t>
        </is>
      </c>
      <c r="D22" s="4" t="inlineStr"/>
    </row>
    <row r="23" ht="16" customHeight="1">
      <c r="A23" s="4" t="inlineStr">
        <is>
          <t>평균 밀도 ρ [kg/m³]</t>
        </is>
      </c>
      <c r="B23" s="10">
        <f>(B20*Input!B24+B21*Input!B25+B22*Input!B26)/(Input!B24+Input!B25+Input!B26)</f>
        <v/>
      </c>
      <c r="C23" s="4" t="inlineStr">
        <is>
          <t>kg/m³</t>
        </is>
      </c>
      <c r="D23" s="4" t="inlineStr">
        <is>
          <t>몰분율 가중평균</t>
        </is>
      </c>
    </row>
    <row r="24" ht="16" customHeight="1">
      <c r="A24" s="4" t="inlineStr">
        <is>
          <t>성분1 비등점 [℃]</t>
        </is>
      </c>
      <c r="B24" s="10">
        <f>VLOOKUP(Input!A24,PropertyDB!A13:E18,5,FALSE)</f>
        <v/>
      </c>
      <c r="C24" s="4" t="inlineStr">
        <is>
          <t>℃</t>
        </is>
      </c>
      <c r="D24" s="4" t="inlineStr"/>
    </row>
    <row r="25" ht="16" customHeight="1">
      <c r="A25" s="4" t="inlineStr">
        <is>
          <t>성분2 비등점 [℃]</t>
        </is>
      </c>
      <c r="B25" s="10">
        <f>VLOOKUP(Input!A25,PropertyDB!A13:E18,5,FALSE)</f>
        <v/>
      </c>
      <c r="C25" s="4" t="inlineStr">
        <is>
          <t>℃</t>
        </is>
      </c>
      <c r="D25" s="4" t="inlineStr"/>
    </row>
    <row r="26" ht="16" customHeight="1">
      <c r="A26" s="4" t="inlineStr">
        <is>
          <t>성분3 비등점 [℃]</t>
        </is>
      </c>
      <c r="B26" s="10">
        <f>VLOOKUP(Input!A26,PropertyDB!A13:E18,5,FALSE)</f>
        <v/>
      </c>
      <c r="C26" s="4" t="inlineStr">
        <is>
          <t>℃</t>
        </is>
      </c>
      <c r="D26" s="4" t="inlineStr"/>
    </row>
    <row r="27" ht="16" customHeight="1">
      <c r="A27" s="4" t="inlineStr">
        <is>
          <t>평균 비등점 T_bp [℃]</t>
        </is>
      </c>
      <c r="B27" s="10">
        <f>(B24*Input!B24+B25*Input!B25+B26*Input!B26)/(Input!B24+Input!B25+Input!B26)</f>
        <v/>
      </c>
      <c r="C27" s="4" t="inlineStr">
        <is>
          <t>℃</t>
        </is>
      </c>
      <c r="D27" s="4" t="inlineStr">
        <is>
          <t>몰분율 가중평균</t>
        </is>
      </c>
    </row>
    <row r="28" ht="18" customHeight="1">
      <c r="A28" s="3" t="inlineStr">
        <is>
          <t>▶ 압력 보정 계산</t>
        </is>
      </c>
    </row>
    <row r="29" ht="16" customHeight="1">
      <c r="A29" s="4" t="inlineStr">
        <is>
          <t>압력보정계수</t>
        </is>
      </c>
      <c r="B29" s="10">
        <f>MAX(0.8,1-((Input!B10-1.013)*0.05))</f>
        <v/>
      </c>
      <c r="C29" s="4" t="inlineStr">
        <is>
          <t>-</t>
        </is>
      </c>
      <c r="D29" s="4" t="inlineStr">
        <is>
          <t>압력↑→비등점↑→BOG↓ (근사, 최소 0.8)</t>
        </is>
      </c>
    </row>
    <row r="30" ht="18" customHeight="1">
      <c r="A30" s="3" t="inlineStr">
        <is>
          <t>▶ 열침투량 Q 계산</t>
        </is>
      </c>
    </row>
    <row r="31" ht="16" customHeight="1">
      <c r="A31" s="4" t="inlineStr">
        <is>
          <t>온도차 ΔT [K]</t>
        </is>
      </c>
      <c r="B31" s="10">
        <f>Input!B11-B27</f>
        <v/>
      </c>
      <c r="C31" s="4" t="inlineStr">
        <is>
          <t>K</t>
        </is>
      </c>
      <c r="D31" s="4" t="inlineStr">
        <is>
          <t>외부온도 - LNG 평균비등점</t>
        </is>
      </c>
    </row>
    <row r="32" ht="16" customHeight="1">
      <c r="A32" s="4" t="inlineStr">
        <is>
          <t>탱크 열침투 Q_tank [W]</t>
        </is>
      </c>
      <c r="B32" s="10">
        <f>B31/B14</f>
        <v/>
      </c>
      <c r="C32" s="4" t="inlineStr">
        <is>
          <t>W</t>
        </is>
      </c>
      <c r="D32" s="4" t="inlineStr">
        <is>
          <t>ΔT / R</t>
        </is>
      </c>
    </row>
    <row r="33" ht="16" customHeight="1">
      <c r="A33" s="4" t="inlineStr">
        <is>
          <t>배관 보냉계수 (VLOOKUP)</t>
        </is>
      </c>
      <c r="B33" s="10">
        <f>VLOOKUP(Input!B17,PropertyDB!A22:B24,2,FALSE)</f>
        <v/>
      </c>
      <c r="C33" s="4" t="inlineStr">
        <is>
          <t>-</t>
        </is>
      </c>
      <c r="D33" s="4" t="inlineStr">
        <is>
          <t>2_물성DB A22:B24 참조</t>
        </is>
      </c>
    </row>
    <row r="34" ht="16" customHeight="1">
      <c r="A34" s="4" t="inlineStr">
        <is>
          <t>배관 열침투 Q_pipe [W]</t>
        </is>
      </c>
      <c r="B34" s="10">
        <f>B32*(Input!B18/100)*B33</f>
        <v/>
      </c>
      <c r="C34" s="4" t="inlineStr">
        <is>
          <t>W</t>
        </is>
      </c>
      <c r="D34" s="4" t="inlineStr">
        <is>
          <t>Q_tank × 배관비율 × 배관계수</t>
        </is>
      </c>
    </row>
    <row r="35" ht="16" customHeight="1">
      <c r="A35" s="4" t="inlineStr">
        <is>
          <t>총 열침투 Q_total [W]</t>
        </is>
      </c>
      <c r="B35" s="10">
        <f>B32+B34</f>
        <v/>
      </c>
      <c r="C35" s="4" t="inlineStr">
        <is>
          <t>W</t>
        </is>
      </c>
      <c r="D35" s="4" t="inlineStr">
        <is>
          <t>Q_tank + Q_pipe</t>
        </is>
      </c>
    </row>
    <row r="36" ht="18" customHeight="1">
      <c r="A36" s="3" t="inlineStr">
        <is>
          <t>▶ BOG / BOR 결과</t>
        </is>
      </c>
    </row>
    <row r="37" ht="16" customHeight="1">
      <c r="A37" s="4" t="inlineStr">
        <is>
          <t>BOG 질량유량 [kg/s]</t>
        </is>
      </c>
      <c r="B37" s="10">
        <f>B35/(B19*1000)</f>
        <v/>
      </c>
      <c r="C37" s="4" t="inlineStr">
        <is>
          <t>kg/s</t>
        </is>
      </c>
      <c r="D37" s="4" t="inlineStr">
        <is>
          <t>Q_total / ΔHvap[J/kg]</t>
        </is>
      </c>
    </row>
    <row r="38" ht="16" customHeight="1">
      <c r="A38" s="4" t="inlineStr">
        <is>
          <t>BOG 일일 증발량 [kg/day]</t>
        </is>
      </c>
      <c r="B38" s="10">
        <f>B37*86400*B29</f>
        <v/>
      </c>
      <c r="C38" s="4" t="inlineStr">
        <is>
          <t>kg/day</t>
        </is>
      </c>
      <c r="D38" s="4" t="inlineStr">
        <is>
          <t>BOG유량 × 86400 × 압력보정</t>
        </is>
      </c>
    </row>
    <row r="39" ht="16" customHeight="1">
      <c r="A39" s="4" t="inlineStr">
        <is>
          <t>LNG 총 질량 [kg]</t>
        </is>
      </c>
      <c r="B39" s="10">
        <f>B9*B23</f>
        <v/>
      </c>
      <c r="C39" s="4" t="inlineStr">
        <is>
          <t>kg</t>
        </is>
      </c>
      <c r="D39" s="4" t="inlineStr">
        <is>
          <t>V_LNG × 평균밀도</t>
        </is>
      </c>
    </row>
    <row r="40" ht="16" customHeight="1">
      <c r="A40" s="4" t="inlineStr">
        <is>
          <t>★ BOR [%/day]</t>
        </is>
      </c>
      <c r="B40" s="17">
        <f>B38/B39*100</f>
        <v/>
      </c>
      <c r="C40" s="4" t="inlineStr">
        <is>
          <t>%/day</t>
        </is>
      </c>
      <c r="D40" s="4" t="inlineStr">
        <is>
          <t>최종 예측 BOR</t>
        </is>
      </c>
    </row>
    <row r="41" ht="16" customHeight="1">
      <c r="A41" s="4" t="inlineStr">
        <is>
          <t>★ BOG [kg/h]</t>
        </is>
      </c>
      <c r="B41" s="17">
        <f>B38/24</f>
        <v/>
      </c>
      <c r="C41" s="4" t="inlineStr">
        <is>
          <t>kg/h</t>
        </is>
      </c>
      <c r="D41" s="4" t="inlineStr">
        <is>
          <t>시간당 증발량</t>
        </is>
      </c>
    </row>
    <row r="42" ht="16" customHeight="1">
      <c r="A42" s="4" t="inlineStr">
        <is>
          <t>★ BOG [kg/day]</t>
        </is>
      </c>
      <c r="B42" s="17">
        <f>B38</f>
        <v/>
      </c>
      <c r="C42" s="4" t="inlineStr">
        <is>
          <t>kg/day</t>
        </is>
      </c>
      <c r="D42" s="4" t="inlineStr">
        <is>
          <t>일일 증발량</t>
        </is>
      </c>
    </row>
  </sheetData>
  <mergeCells count="7">
    <mergeCell ref="A1:D1"/>
    <mergeCell ref="A3:D3"/>
    <mergeCell ref="A30:D30"/>
    <mergeCell ref="A15:D15"/>
    <mergeCell ref="A10:D10"/>
    <mergeCell ref="A28:D28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32" customWidth="1" min="4" max="4"/>
  </cols>
  <sheetData>
    <row r="1" ht="28" customHeight="1">
      <c r="A1" s="12" t="inlineStr">
        <is>
          <t>실측 BOG → BOR 역산 및 예측 비교 (4_계측보정)</t>
        </is>
      </c>
    </row>
    <row r="2" ht="20" customHeight="1">
      <c r="A2" s="2" t="inlineStr">
        <is>
          <t>항목</t>
        </is>
      </c>
      <c r="B2" s="2" t="inlineStr">
        <is>
          <t>값</t>
        </is>
      </c>
      <c r="C2" s="2" t="inlineStr">
        <is>
          <t>단위</t>
        </is>
      </c>
      <c r="D2" s="2" t="inlineStr">
        <is>
          <t>비고</t>
        </is>
      </c>
    </row>
    <row r="3" ht="18" customHeight="1">
      <c r="A3" s="3" t="inlineStr">
        <is>
          <t>▶ 실측 BOG 입력</t>
        </is>
      </c>
    </row>
    <row r="4" ht="18" customHeight="1">
      <c r="A4" s="4" t="inlineStr">
        <is>
          <t>실측 BOG량 [kg]</t>
        </is>
      </c>
      <c r="B4" s="5" t="n">
        <v>0</v>
      </c>
      <c r="C4" s="4" t="inlineStr">
        <is>
          <t>kg</t>
        </is>
      </c>
      <c r="D4" s="4" t="inlineStr">
        <is>
          <t>← 사용자 직접 입력 (계측 동안 수집량)</t>
        </is>
      </c>
    </row>
    <row r="5" ht="18" customHeight="1">
      <c r="A5" s="4" t="inlineStr">
        <is>
          <t>계측 시간 [h]</t>
        </is>
      </c>
      <c r="B5" s="10">
        <f>Input!B21</f>
        <v/>
      </c>
      <c r="C5" s="4" t="inlineStr">
        <is>
          <t>h</t>
        </is>
      </c>
      <c r="D5" s="4" t="inlineStr">
        <is>
          <t>1_입력조건 참조</t>
        </is>
      </c>
    </row>
    <row r="6" ht="18" customHeight="1">
      <c r="A6" s="3" t="inlineStr">
        <is>
          <t>▶ 안정화 보정 및 실측 BOR 계산</t>
        </is>
      </c>
    </row>
    <row r="7" ht="18" customHeight="1">
      <c r="A7" s="4" t="inlineStr">
        <is>
          <t>안정화 보정계수</t>
        </is>
      </c>
      <c r="B7" s="10">
        <f>IF(Input!B20&lt;6,1.15,IF(Input!B20&lt;12,1.05,1.0))</f>
        <v/>
      </c>
      <c r="C7" s="4" t="inlineStr">
        <is>
          <t>-</t>
        </is>
      </c>
      <c r="D7" s="4" t="inlineStr">
        <is>
          <t>안정화&lt;6h→1.15 / &lt;12h→1.05 / ≥12h→1.0</t>
        </is>
      </c>
    </row>
    <row r="8" ht="18" customHeight="1">
      <c r="A8" s="4" t="inlineStr">
        <is>
          <t>실측 BOG [kg/h]</t>
        </is>
      </c>
      <c r="B8" s="10">
        <f>B4/B5*B7</f>
        <v/>
      </c>
      <c r="C8" s="4" t="inlineStr">
        <is>
          <t>kg/h</t>
        </is>
      </c>
      <c r="D8" s="4" t="inlineStr">
        <is>
          <t>실측량 / 계측시간 × 보정계수</t>
        </is>
      </c>
    </row>
    <row r="9" ht="18" customHeight="1">
      <c r="A9" s="4" t="inlineStr">
        <is>
          <t>실측 BOG [kg/day]</t>
        </is>
      </c>
      <c r="B9" s="10">
        <f>B8*24</f>
        <v/>
      </c>
      <c r="C9" s="4" t="inlineStr">
        <is>
          <t>kg/day</t>
        </is>
      </c>
      <c r="D9" s="4" t="inlineStr">
        <is>
          <t>시간당 × 24</t>
        </is>
      </c>
    </row>
    <row r="10" ht="18" customHeight="1">
      <c r="A10" s="4" t="inlineStr">
        <is>
          <t>LNG 총 질량 [kg]</t>
        </is>
      </c>
      <c r="B10" s="10">
        <f>BOR_Calc!B39</f>
        <v/>
      </c>
      <c r="C10" s="4" t="inlineStr">
        <is>
          <t>kg</t>
        </is>
      </c>
      <c r="D10" s="4" t="inlineStr">
        <is>
          <t>3_BOR계산 참조</t>
        </is>
      </c>
    </row>
    <row r="11" ht="18" customHeight="1">
      <c r="A11" s="4" t="inlineStr">
        <is>
          <t>★ 실측 BOR [%/day]</t>
        </is>
      </c>
      <c r="B11" s="17">
        <f>B9/B10*100</f>
        <v/>
      </c>
      <c r="C11" s="4" t="inlineStr">
        <is>
          <t>%/day</t>
        </is>
      </c>
      <c r="D11" s="4" t="inlineStr">
        <is>
          <t>실측BOG일일 / LNG총질량 × 100</t>
        </is>
      </c>
    </row>
    <row r="12" ht="18" customHeight="1">
      <c r="A12" s="3" t="inlineStr">
        <is>
          <t>▶ 예측 BOR vs 실측 BOR 비교</t>
        </is>
      </c>
    </row>
    <row r="13" ht="18" customHeight="1">
      <c r="A13" s="4" t="inlineStr">
        <is>
          <t>★ 예측 BOR [%/day]</t>
        </is>
      </c>
      <c r="B13" s="17">
        <f>BOR_Calc!B40</f>
        <v/>
      </c>
      <c r="C13" s="4" t="inlineStr">
        <is>
          <t>%/day</t>
        </is>
      </c>
      <c r="D13" s="4" t="inlineStr">
        <is>
          <t>3_BOR계산 최종 결과</t>
        </is>
      </c>
    </row>
    <row r="14" ht="18" customHeight="1">
      <c r="A14" s="4" t="inlineStr">
        <is>
          <t>오차율 [%]</t>
        </is>
      </c>
      <c r="B14" s="18">
        <f>(B11-B13)/B13*100</f>
        <v/>
      </c>
      <c r="C14" s="4" t="inlineStr">
        <is>
          <t>%</t>
        </is>
      </c>
      <c r="D14" s="4" t="inlineStr">
        <is>
          <t>(실측 - 예측) / 예측 × 100</t>
        </is>
      </c>
    </row>
    <row r="15" ht="18" customHeight="1">
      <c r="A15" s="4" t="inlineStr">
        <is>
          <t>판정</t>
        </is>
      </c>
      <c r="B15" s="18">
        <f>IF(ABS(B14)&lt;10,"✅ 양호","⚠ 재계측 권장")</f>
        <v/>
      </c>
      <c r="C15" s="4" t="inlineStr">
        <is>
          <t>-</t>
        </is>
      </c>
      <c r="D15" s="4" t="inlineStr">
        <is>
          <t>오차 10% 미만이면 양호</t>
        </is>
      </c>
    </row>
    <row r="17" ht="14" customHeight="1">
      <c r="A17" s="19" t="inlineStr">
        <is>
          <t>📌 주의: 이 모델은 정상상태(steady-state) 열전달 기반의 설계 예측용 모델입니다.
실측값과의 오차가 10% 이상이면 단열재 물성, 충전율, 탱크 형상 등 입력값을 재확인하거나
일사량, 지면 열전도 등 현장 조건을 추가 반영하세요.</t>
        </is>
      </c>
    </row>
    <row r="18" ht="14" customHeight="1"/>
    <row r="19" ht="14" customHeight="1"/>
  </sheetData>
  <mergeCells count="5">
    <mergeCell ref="A1:D1"/>
    <mergeCell ref="A17:D19"/>
    <mergeCell ref="A6:D6"/>
    <mergeCell ref="A12:D12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2026-06-20T02:59:29Z</dcterms:created>
  <dcterms:modified xsi:type="dcterms:W3CDTF">2026-06-20T02:59:29Z</dcterms:modified>
</cp:coreProperties>
</file>