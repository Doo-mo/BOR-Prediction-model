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PropertyDB" sheetId="2" state="visible" r:id="rId2"/>
    <sheet name="BOR_Calc" sheetId="3" state="visible" r:id="rId3"/>
    <sheet name="Meas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</row>
    <row r="7" ht="18" customHeight="1">
      <c r="A7" s="3" t="inlineStr">
        <is>
          <t>▶ 운전 조건</t>
        </is>
      </c>
    </row>
    <row r="8" ht="18" customHeight="1">
      <c r="A8" s="4" t="inlineStr">
        <is>
          <t>탱크 내부 압력 [bar(a)]</t>
        </is>
      </c>
      <c r="B8" s="5" t="n">
        <v>1.13</v>
      </c>
      <c r="C8" s="4" t="inlineStr">
        <is>
          <t>bar(a)</t>
        </is>
      </c>
      <c r="D8" s="4" t="inlineStr">
        <is>
          <t>절대압</t>
        </is>
      </c>
    </row>
    <row r="9" ht="18" customHeight="1">
      <c r="A9" s="4" t="inlineStr">
        <is>
          <t>외부(주위) 온도 [℃]</t>
        </is>
      </c>
      <c r="B9" s="5" t="n">
        <v>25</v>
      </c>
      <c r="C9" s="4" t="inlineStr">
        <is>
          <t>℃</t>
        </is>
      </c>
      <c r="D9" s="4" t="inlineStr"/>
    </row>
    <row r="10" ht="18" customHeight="1">
      <c r="A10" s="3" t="inlineStr">
        <is>
          <t>▶ 단열재 조건</t>
        </is>
      </c>
    </row>
    <row r="11" ht="18" customHeight="1">
      <c r="A11" s="4" t="inlineStr">
        <is>
          <t>단열재 종류</t>
        </is>
      </c>
      <c r="B11" s="5" t="inlineStr">
        <is>
          <t>Perlite(진공)</t>
        </is>
      </c>
      <c r="C11" s="4" t="inlineStr">
        <is>
          <t>-</t>
        </is>
      </c>
      <c r="D11" s="4" t="inlineStr">
        <is>
          <t>드롭다운 선택</t>
        </is>
      </c>
    </row>
    <row r="12" ht="18" customHeight="1">
      <c r="A12" s="4" t="inlineStr">
        <is>
          <t>단열재 두께 [m]</t>
        </is>
      </c>
      <c r="B12" s="5" t="n">
        <v>0.3</v>
      </c>
      <c r="C12" s="4" t="inlineStr">
        <is>
          <t>m</t>
        </is>
      </c>
      <c r="D12" s="4" t="inlineStr"/>
    </row>
    <row r="13" ht="18" customHeight="1">
      <c r="A13" s="4" t="inlineStr">
        <is>
          <t>진공도 [Pa]</t>
        </is>
      </c>
      <c r="B13" s="5" t="n">
        <v>1</v>
      </c>
      <c r="C13" s="4" t="inlineStr">
        <is>
          <t>Pa</t>
        </is>
      </c>
      <c r="D13" s="4" t="inlineStr">
        <is>
          <t>진공단열 시 적용</t>
        </is>
      </c>
    </row>
    <row r="14" ht="18" customHeight="1">
      <c r="A14" s="3" t="inlineStr">
        <is>
          <t>▶ 배관 조건</t>
        </is>
      </c>
    </row>
    <row r="15" ht="18" customHeight="1">
      <c r="A15" s="4" t="inlineStr">
        <is>
          <t>배관 보냉/진공 여부</t>
        </is>
      </c>
      <c r="B15" s="5" t="inlineStr">
        <is>
          <t>진공배관</t>
        </is>
      </c>
      <c r="C15" s="4" t="inlineStr">
        <is>
          <t>-</t>
        </is>
      </c>
      <c r="D15" s="4" t="inlineStr">
        <is>
          <t>드롭다운 선택</t>
        </is>
      </c>
    </row>
    <row r="16" ht="18" customHeight="1">
      <c r="A16" s="4" t="inlineStr">
        <is>
          <t>배관 추가 열유입 비율 [%]</t>
        </is>
      </c>
      <c r="B16" s="5" t="n">
        <v>10</v>
      </c>
      <c r="C16" s="4" t="inlineStr">
        <is>
          <t>%</t>
        </is>
      </c>
      <c r="D16" s="4" t="inlineStr">
        <is>
          <t>탱크 열유입 대비</t>
        </is>
      </c>
    </row>
    <row r="17" ht="18" customHeight="1">
      <c r="A17" s="3" t="inlineStr">
        <is>
          <t>▶ 계측 조건</t>
        </is>
      </c>
    </row>
    <row r="18" ht="18" customHeight="1">
      <c r="A18" s="4" t="inlineStr">
        <is>
          <t>안정화 시간 [h]</t>
        </is>
      </c>
      <c r="B18" s="5" t="n">
        <v>12</v>
      </c>
      <c r="C18" s="4" t="inlineStr">
        <is>
          <t>h</t>
        </is>
      </c>
      <c r="D18" s="4" t="inlineStr">
        <is>
          <t>BOG 안정화 대기 시간</t>
        </is>
      </c>
    </row>
    <row r="19" ht="18" customHeight="1">
      <c r="A19" s="4" t="inlineStr">
        <is>
          <t>BOG 계측 시간 [h]</t>
        </is>
      </c>
      <c r="B19" s="5" t="n">
        <v>1</v>
      </c>
      <c r="C19" s="4" t="inlineStr">
        <is>
          <t>h</t>
        </is>
      </c>
      <c r="D19" s="4" t="inlineStr">
        <is>
          <t>실측 수집 시간</t>
        </is>
      </c>
    </row>
    <row r="20" ht="18" customHeight="1">
      <c r="A20" s="3" t="inlineStr">
        <is>
          <t>▶ LNG 조성 (상위 3성분)</t>
        </is>
      </c>
    </row>
    <row r="21" ht="18" customHeight="1">
      <c r="A21" s="6" t="inlineStr">
        <is>
          <t>성분 이름</t>
        </is>
      </c>
      <c r="B21" s="6" t="inlineStr">
        <is>
          <t>몰분율 [mol%]</t>
        </is>
      </c>
      <c r="C21" s="6" t="inlineStr">
        <is>
          <t>단위</t>
        </is>
      </c>
      <c r="D21" s="6" t="inlineStr">
        <is>
          <t>비고</t>
        </is>
      </c>
    </row>
    <row r="22" ht="18" customHeight="1">
      <c r="A22" s="5" t="inlineStr">
        <is>
          <t>Methane</t>
        </is>
      </c>
      <c r="B22" s="5" t="n">
        <v>90</v>
      </c>
      <c r="C22" s="4" t="inlineStr">
        <is>
          <t>mol%</t>
        </is>
      </c>
      <c r="D22" s="4" t="inlineStr">
        <is>
          <t>주성분</t>
        </is>
      </c>
    </row>
    <row r="23" ht="18" customHeight="1">
      <c r="A23" s="5" t="inlineStr">
        <is>
          <t>Ethane</t>
        </is>
      </c>
      <c r="B23" s="5" t="n">
        <v>7</v>
      </c>
      <c r="C23" s="4" t="inlineStr">
        <is>
          <t>mol%</t>
        </is>
      </c>
      <c r="D23" s="4" t="inlineStr"/>
    </row>
    <row r="24" ht="18" customHeight="1">
      <c r="A24" s="5" t="inlineStr">
        <is>
          <t>Propane</t>
        </is>
      </c>
      <c r="B24" s="5" t="n">
        <v>3</v>
      </c>
      <c r="C24" s="4" t="inlineStr">
        <is>
          <t>mol%</t>
        </is>
      </c>
      <c r="D24" s="4" t="inlineStr">
        <is>
          <t>합계 100%</t>
        </is>
      </c>
    </row>
  </sheetData>
  <mergeCells count="7">
    <mergeCell ref="A1:D1"/>
    <mergeCell ref="A17:D17"/>
    <mergeCell ref="A3:D3"/>
    <mergeCell ref="A20:D20"/>
    <mergeCell ref="A7:D7"/>
    <mergeCell ref="A10:D10"/>
    <mergeCell ref="A14:D14"/>
  </mergeCells>
  <dataValidations count="3">
    <dataValidation sqref="B11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5" showDropDown="0" showInputMessage="0" showErrorMessage="0" allowBlank="0" errorTitle="입력 오류" error="목록에서 선택하세요" type="list">
      <formula1>"보냉없음,일반보냉,진공배관"</formula1>
    </dataValidation>
    <dataValidation sqref="B22:B24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7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6" t="inlineStr">
        <is>
          <t>단열재 종류</t>
        </is>
      </c>
      <c r="B3" s="6" t="inlineStr">
        <is>
          <t>열전도율 k [W/m·K]</t>
        </is>
      </c>
    </row>
    <row r="4">
      <c r="A4" s="8" t="inlineStr">
        <is>
          <t>Polyurethane Foam (PUF)</t>
        </is>
      </c>
      <c r="B4" s="9" t="n">
        <v>0.025</v>
      </c>
    </row>
    <row r="5">
      <c r="A5" s="8" t="inlineStr">
        <is>
          <t>Perlite(대기압)</t>
        </is>
      </c>
      <c r="B5" s="9" t="n">
        <v>0.04</v>
      </c>
    </row>
    <row r="6">
      <c r="A6" s="8" t="inlineStr">
        <is>
          <t>Perlite(진공)</t>
        </is>
      </c>
      <c r="B6" s="9" t="n">
        <v>0.0015</v>
      </c>
    </row>
    <row r="7">
      <c r="A7" s="8" t="inlineStr">
        <is>
          <t>MLI(다층진공단열)</t>
        </is>
      </c>
      <c r="B7" s="9" t="n">
        <v>0.0005</v>
      </c>
    </row>
    <row r="8">
      <c r="A8" s="8" t="inlineStr">
        <is>
          <t>Glass Wool</t>
        </is>
      </c>
      <c r="B8" s="9" t="n">
        <v>0.038</v>
      </c>
    </row>
    <row r="9">
      <c r="A9" s="8" t="inlineStr">
        <is>
          <t>Vacuum Panel</t>
        </is>
      </c>
      <c r="B9" s="9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6" t="inlineStr">
        <is>
          <t>성분</t>
        </is>
      </c>
      <c r="B12" s="6" t="inlineStr">
        <is>
          <t>분자량
[g/mol]</t>
        </is>
      </c>
      <c r="C12" s="6" t="inlineStr">
        <is>
          <t>잠열 ΔHvap
[kJ/kg]</t>
        </is>
      </c>
      <c r="D12" s="6" t="inlineStr">
        <is>
          <t>액밀도
[kg/m³]</t>
        </is>
      </c>
      <c r="E12" s="6" t="inlineStr">
        <is>
          <t>비등점
[℃]</t>
        </is>
      </c>
      <c r="F12" s="6" t="inlineStr">
        <is>
          <t>비고</t>
        </is>
      </c>
    </row>
    <row r="13" ht="16" customHeight="1">
      <c r="A13" s="10" t="inlineStr">
        <is>
          <t>Methane</t>
        </is>
      </c>
      <c r="B13" s="11" t="n">
        <v>16.04</v>
      </c>
      <c r="C13" s="11" t="n">
        <v>511</v>
      </c>
      <c r="D13" s="11" t="n">
        <v>422.6</v>
      </c>
      <c r="E13" s="11" t="n">
        <v>-161.5</v>
      </c>
      <c r="F13" s="11" t="inlineStr">
        <is>
          <t>주성분</t>
        </is>
      </c>
    </row>
    <row r="14" ht="16" customHeight="1">
      <c r="A14" s="10" t="inlineStr">
        <is>
          <t>Ethane</t>
        </is>
      </c>
      <c r="B14" s="11" t="n">
        <v>30.07</v>
      </c>
      <c r="C14" s="11" t="n">
        <v>489</v>
      </c>
      <c r="D14" s="11" t="n">
        <v>544.1</v>
      </c>
      <c r="E14" s="11" t="n">
        <v>-88.59999999999999</v>
      </c>
      <c r="F14" s="11" t="inlineStr"/>
    </row>
    <row r="15" ht="16" customHeight="1">
      <c r="A15" s="10" t="inlineStr">
        <is>
          <t>Propane</t>
        </is>
      </c>
      <c r="B15" s="11" t="n">
        <v>44.1</v>
      </c>
      <c r="C15" s="11" t="n">
        <v>426</v>
      </c>
      <c r="D15" s="11" t="n">
        <v>581</v>
      </c>
      <c r="E15" s="11" t="n">
        <v>-42.1</v>
      </c>
      <c r="F15" s="11" t="inlineStr"/>
    </row>
    <row r="16" ht="16" customHeight="1">
      <c r="A16" s="10" t="inlineStr">
        <is>
          <t>Nitrogen</t>
        </is>
      </c>
      <c r="B16" s="11" t="n">
        <v>28.01</v>
      </c>
      <c r="C16" s="11" t="n">
        <v>199</v>
      </c>
      <c r="D16" s="11" t="n">
        <v>806.6</v>
      </c>
      <c r="E16" s="11" t="n">
        <v>-195.8</v>
      </c>
      <c r="F16" s="11" t="inlineStr"/>
    </row>
    <row r="17" ht="16" customHeight="1">
      <c r="A17" s="10" t="inlineStr">
        <is>
          <t>i-Butane</t>
        </is>
      </c>
      <c r="B17" s="11" t="n">
        <v>58.12</v>
      </c>
      <c r="C17" s="11" t="n">
        <v>366</v>
      </c>
      <c r="D17" s="11" t="n">
        <v>593.4</v>
      </c>
      <c r="E17" s="11" t="n">
        <v>-11.7</v>
      </c>
      <c r="F17" s="11" t="inlineStr"/>
    </row>
    <row r="18" ht="16" customHeight="1">
      <c r="A18" s="10" t="inlineStr">
        <is>
          <t>n-Butane</t>
        </is>
      </c>
      <c r="B18" s="11" t="n">
        <v>58.12</v>
      </c>
      <c r="C18" s="11" t="n">
        <v>385</v>
      </c>
      <c r="D18" s="11" t="n">
        <v>601.8</v>
      </c>
      <c r="E18" s="11" t="n">
        <v>-0.5</v>
      </c>
      <c r="F18" s="11" t="inlineStr"/>
    </row>
    <row r="20">
      <c r="A20" s="3" t="inlineStr">
        <is>
          <t>■ 배관 보냉계수 (열유입 보정)</t>
        </is>
      </c>
    </row>
    <row r="21">
      <c r="A21" s="6" t="inlineStr">
        <is>
          <t>배관 상태</t>
        </is>
      </c>
      <c r="B21" s="6" t="inlineStr">
        <is>
          <t>열유입 계수</t>
        </is>
      </c>
    </row>
    <row r="22">
      <c r="A22" s="8" t="inlineStr">
        <is>
          <t>보냉없음</t>
        </is>
      </c>
      <c r="B22" s="11" t="n">
        <v>1</v>
      </c>
    </row>
    <row r="23">
      <c r="A23" s="8" t="inlineStr">
        <is>
          <t>일반보냉</t>
        </is>
      </c>
      <c r="B23" s="11" t="n">
        <v>0.4</v>
      </c>
    </row>
    <row r="24">
      <c r="A24" s="8" t="inlineStr">
        <is>
          <t>진공배관</t>
        </is>
      </c>
      <c r="B24" s="11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7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2">
        <f>Input!B4/2</f>
        <v/>
      </c>
      <c r="C4" s="4" t="inlineStr">
        <is>
          <t>m</t>
        </is>
      </c>
      <c r="D4" s="4">
        <f> 직경 / 2</f>
        <v/>
      </c>
    </row>
    <row r="5" ht="16" customHeight="1">
      <c r="A5" s="4" t="inlineStr">
        <is>
          <t>원통부 외면 표면적 [m²]</t>
        </is>
      </c>
      <c r="B5" s="12">
        <f>2*PI()*B4*Input!B5</f>
        <v/>
      </c>
      <c r="C5" s="4" t="inlineStr">
        <is>
          <t>m²</t>
        </is>
      </c>
      <c r="D5" s="4">
        <f> 2π r L</f>
        <v/>
      </c>
    </row>
    <row r="6" ht="16" customHeight="1">
      <c r="A6" s="4" t="inlineStr">
        <is>
          <t>양단 반구 표면적 [m²]</t>
        </is>
      </c>
      <c r="B6" s="12">
        <f>4*PI()*B4^2</f>
        <v/>
      </c>
      <c r="C6" s="4" t="inlineStr">
        <is>
          <t>m²</t>
        </is>
      </c>
      <c r="D6" s="4">
        <f> 4π r²  (양쪽 반구 합)</f>
        <v/>
      </c>
    </row>
    <row r="7" ht="16" customHeight="1">
      <c r="A7" s="4" t="inlineStr">
        <is>
          <t>총 표면적 A [m²]</t>
        </is>
      </c>
      <c r="B7" s="12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2">
        <f>PI()*B4^2*Input!B5+(4/3)*PI()*B4^3</f>
        <v/>
      </c>
      <c r="C8" s="4" t="inlineStr">
        <is>
          <t>m³</t>
        </is>
      </c>
      <c r="D8" s="4">
        <f> π r² L + (4/3)π r³</f>
        <v/>
      </c>
    </row>
    <row r="9" ht="16" customHeight="1">
      <c r="A9" s="4" t="inlineStr">
        <is>
          <t>LNG 체적 V_LNG [m³]</t>
        </is>
      </c>
      <c r="B9" s="12">
        <f>B8*Input!B6/100</f>
        <v/>
      </c>
      <c r="C9" s="4" t="inlineStr">
        <is>
          <t>m³</t>
        </is>
      </c>
      <c r="D9" s="4">
        <f> V_tank × 충전율(%)</f>
        <v/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2">
        <f>VLOOKUP(Input!B11,PropertyDB!A4:B9,2,FALSE)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2">
        <f>IF(Input!B13&lt;10,0.7,IF(Input!B13&lt;100,0.85,1.0))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2">
        <f>B11*B12</f>
        <v/>
      </c>
      <c r="C13" s="4" t="inlineStr">
        <is>
          <t>W/m·K</t>
        </is>
      </c>
      <c r="D13" s="4">
        <f> k × 진공보정계수</f>
        <v/>
      </c>
    </row>
    <row r="14" ht="16" customHeight="1">
      <c r="A14" s="4" t="inlineStr">
        <is>
          <t>열저항 R [K/W]</t>
        </is>
      </c>
      <c r="B14" s="12">
        <f>Input!B12/(B13*B7)</f>
        <v/>
      </c>
      <c r="C14" s="4" t="inlineStr">
        <is>
          <t>K/W</t>
        </is>
      </c>
      <c r="D14" s="4">
        <f> 두께 / (keff × A)</f>
        <v/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2">
        <f>VLOOKUP(Input!A22,PropertyDB!A13:E18,3,FALSE)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2">
        <f>VLOOKUP(Input!A23,PropertyDB!A13:E18,3,FALSE)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2">
        <f>VLOOKUP(Input!A24,PropertyDB!A13:E18,3,FALSE)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2">
        <f>(B16*Input!B22+B17*Input!B23+B18*Input!B24)/(Input!B22+Input!B23+Input!B24)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2">
        <f>VLOOKUP(Input!A22,PropertyDB!A13:E18,4,FALSE)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2">
        <f>VLOOKUP(Input!A23,PropertyDB!A13:E18,4,FALSE)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2">
        <f>VLOOKUP(Input!A24,PropertyDB!A13:E18,4,FALSE)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2">
        <f>(B20*Input!B22+B21*Input!B23+B22*Input!B24)/(Input!B22+Input!B23+Input!B24)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2">
        <f>VLOOKUP(Input!A22,PropertyDB!A13:E18,5,FALSE)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2">
        <f>VLOOKUP(Input!A23,PropertyDB!A13:E18,5,FALSE)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2">
        <f>VLOOKUP(Input!A24,PropertyDB!A13:E18,5,FALSE)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2">
        <f>(B24*Input!B22+B25*Input!B23+B26*Input!B24)/(Input!B22+Input!B23+Input!B24)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2">
        <f>MAX(0.8,1-((Input!B8-1.013)*0.05))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2">
        <f>Input!B9-B27</f>
        <v/>
      </c>
      <c r="C31" s="4" t="inlineStr">
        <is>
          <t>K</t>
        </is>
      </c>
      <c r="D31" s="4">
        <f> 외부온도 - LNG 평균비등점</f>
        <v/>
      </c>
    </row>
    <row r="32" ht="16" customHeight="1">
      <c r="A32" s="4" t="inlineStr">
        <is>
          <t>탱크 열침투 Q_tank [W]</t>
        </is>
      </c>
      <c r="B32" s="12">
        <f>B31/B14</f>
        <v/>
      </c>
      <c r="C32" s="4" t="inlineStr">
        <is>
          <t>W</t>
        </is>
      </c>
      <c r="D32" s="4">
        <f> ΔT / R</f>
        <v/>
      </c>
    </row>
    <row r="33" ht="16" customHeight="1">
      <c r="A33" s="4" t="inlineStr">
        <is>
          <t>배관 보냉계수 (VLOOKUP)</t>
        </is>
      </c>
      <c r="B33" s="12">
        <f>VLOOKUP(Input!B15,PropertyDB!A22:B24,2,FALSE)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2">
        <f>B32*(Input!B16/100)*B33</f>
        <v/>
      </c>
      <c r="C34" s="4" t="inlineStr">
        <is>
          <t>W</t>
        </is>
      </c>
      <c r="D34" s="4">
        <f> Q_tank × 배관비율 × 배관계수</f>
        <v/>
      </c>
    </row>
    <row r="35" ht="16" customHeight="1">
      <c r="A35" s="4" t="inlineStr">
        <is>
          <t>총 열침투 Q_total [W]</t>
        </is>
      </c>
      <c r="B35" s="12">
        <f>B32+B34</f>
        <v/>
      </c>
      <c r="C35" s="4" t="inlineStr">
        <is>
          <t>W</t>
        </is>
      </c>
      <c r="D35" s="4">
        <f> Q_tank + Q_pipe</f>
        <v/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2">
        <f>B35/(B19*1000)</f>
        <v/>
      </c>
      <c r="C37" s="4" t="inlineStr">
        <is>
          <t>kg/s</t>
        </is>
      </c>
      <c r="D37" s="4">
        <f> Q_total / ΔHvap[J/kg]</f>
        <v/>
      </c>
    </row>
    <row r="38" ht="16" customHeight="1">
      <c r="A38" s="4" t="inlineStr">
        <is>
          <t>BOG 일일 증발량 [kg/day]</t>
        </is>
      </c>
      <c r="B38" s="12">
        <f>B37*86400*B29</f>
        <v/>
      </c>
      <c r="C38" s="4" t="inlineStr">
        <is>
          <t>kg/day</t>
        </is>
      </c>
      <c r="D38" s="4">
        <f> BOG유량 × 86400 × 압력보정</f>
        <v/>
      </c>
    </row>
    <row r="39" ht="16" customHeight="1">
      <c r="A39" s="4" t="inlineStr">
        <is>
          <t>LNG 총 질량 [kg]</t>
        </is>
      </c>
      <c r="B39" s="12">
        <f>B9*B23</f>
        <v/>
      </c>
      <c r="C39" s="4" t="inlineStr">
        <is>
          <t>kg</t>
        </is>
      </c>
      <c r="D39" s="4">
        <f> V_LNG × 평균밀도</f>
        <v/>
      </c>
    </row>
    <row r="40" ht="16" customHeight="1">
      <c r="A40" s="4" t="inlineStr">
        <is>
          <t>★ BOR [%/day]</t>
        </is>
      </c>
      <c r="B40" s="13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3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3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7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2">
        <f>Input!B19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2">
        <f>IF(Input!B18&lt;6,1.15,IF(Input!B18&lt;12,1.05,1.0))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2">
        <f>B4/B5*B7</f>
        <v/>
      </c>
      <c r="C8" s="4" t="inlineStr">
        <is>
          <t>kg/h</t>
        </is>
      </c>
      <c r="D8" s="4">
        <f> 실측량 / 계측시간 × 보정계수</f>
        <v/>
      </c>
    </row>
    <row r="9" ht="18" customHeight="1">
      <c r="A9" s="4" t="inlineStr">
        <is>
          <t>실측 BOG [kg/day]</t>
        </is>
      </c>
      <c r="B9" s="12">
        <f>B8*24</f>
        <v/>
      </c>
      <c r="C9" s="4" t="inlineStr">
        <is>
          <t>kg/day</t>
        </is>
      </c>
      <c r="D9" s="4">
        <f> 시간당 × 24</f>
        <v/>
      </c>
    </row>
    <row r="10" ht="18" customHeight="1">
      <c r="A10" s="4" t="inlineStr">
        <is>
          <t>LNG 총 질량 [kg]</t>
        </is>
      </c>
      <c r="B10" s="12">
        <f>BOR_Calc!B39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3">
        <f>B9/B10*100</f>
        <v/>
      </c>
      <c r="C11" s="4" t="inlineStr">
        <is>
          <t>%/day</t>
        </is>
      </c>
      <c r="D11" s="4">
        <f> 실측BOG일일 / LNG총질량 × 100</f>
        <v/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3">
        <f>BOR_Calc!B40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4">
        <f>(B11-B13)/B13*100</f>
        <v/>
      </c>
      <c r="C14" s="4" t="inlineStr">
        <is>
          <t>%</t>
        </is>
      </c>
      <c r="D14" s="4">
        <f> (실측 - 예측) / 예측 × 100</f>
        <v/>
      </c>
    </row>
    <row r="15" ht="18" customHeight="1">
      <c r="A15" s="4" t="inlineStr">
        <is>
          <t>판정</t>
        </is>
      </c>
      <c r="B15" s="14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5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2026-06-18T16:36:24Z</dcterms:created>
  <dcterms:modified xsi:type="dcterms:W3CDTF">2026-06-18T16:36:24Z</dcterms:modified>
</cp:coreProperties>
</file>