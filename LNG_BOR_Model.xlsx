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입력조건" sheetId="1" state="visible" r:id="rId1"/>
    <sheet name="2_물성DB" sheetId="2" state="visible" r:id="rId2"/>
    <sheet name="3_BOR계산" sheetId="3" state="visible" r:id="rId3"/>
    <sheet name="4_계측보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'1_입력조건'!B4/2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2*PI()*B4*'1_입력조건'!B5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PI()*B4^2*'1_입력조건'!B5+(4/3)*PI()*B4^3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B8*'1_입력조건'!B6/100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VLOOKUP('1_입력조건'!B11,'2_물성DB'!A4:B9,2,FALSE)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IF('1_입력조건'!B13&lt;10,0.7,IF('1_입력조건'!B13&lt;100,0.85,1.0))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'1_입력조건'!B12/(B13*B7)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VLOOKUP('1_입력조건'!B22,'2_물성DB'!A13:E18,3,FALSE)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VLOOKUP('1_입력조건'!B23,'2_물성DB'!A13:E18,3,FALSE)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VLOOKUP('1_입력조건'!B24,'2_물성DB'!A13:E18,3,FALSE)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(B16*'1_입력조건'!C22+B17*'1_입력조건'!C23+B18*'1_입력조건'!C24)/('1_입력조건'!C22+'1_입력조건'!C23+'1_입력조건'!C24)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VLOOKUP('1_입력조건'!B22,'2_물성DB'!A13:E18,4,FALSE)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VLOOKUP('1_입력조건'!B23,'2_물성DB'!A13:E18,4,FALSE)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VLOOKUP('1_입력조건'!B24,'2_물성DB'!A13:E18,4,FALSE)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(B20*'1_입력조건'!C22+B21*'1_입력조건'!C23+B22*'1_입력조건'!C24)/('1_입력조건'!C22+'1_입력조건'!C23+'1_입력조건'!C24)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VLOOKUP('1_입력조건'!B22,'2_물성DB'!A13:E18,5,FALSE)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VLOOKUP('1_입력조건'!B23,'2_물성DB'!A13:E18,5,FALSE)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VLOOKUP('1_입력조건'!B24,'2_물성DB'!A13:E18,5,FALSE)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(B24*'1_입력조건'!C22+B25*'1_입력조건'!C23+B26*'1_입력조건'!C24)/('1_입력조건'!C22+'1_입력조건'!C23+'1_입력조건'!C24)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MAX(0.8,1-(('1_입력조건'!B8-1.013)*0.05))</f>
        <v/>
      </c>
      <c r="C29" s="4" t="inlineStr">
        <is>
          <t>-</t>
        </is>
      </c>
      <c r="D29" s="4" t="inlineStr">
        <is>
          <t>단순 선형 근사(최소 0.8), 정밀 계산은 Antoine 식 기반 고도화 가능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'1_입력조건'!B9-B27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VLOOKUP('1_입력조건'!B15,'2_물성DB'!A22:B24,2,FALSE)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B32*('1_입력조건'!B16/100)*B33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(중간계산)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 (중간계산값)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'1_입력조건'!B19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IF('1_입력조건'!B18&lt;6,1.15,IF('1_입력조건'!B18&lt;12,1.05,1.0))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'3_BOR계산'!B39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'3_BOR계산'!B40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2026-06-18T15:24:38Z</dcterms:created>
  <dcterms:modified xsi:type="dcterms:W3CDTF">2026-06-18T15:24:38Z</dcterms:modified>
</cp:coreProperties>
</file>